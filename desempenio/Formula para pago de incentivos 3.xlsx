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Tarea" sheetId="2" state="visible" r:id="rId2"/>
    <sheet xmlns:r="http://schemas.openxmlformats.org/officeDocument/2006/relationships" name="Ejemplos" sheetId="3" state="visible" r:id="rId3"/>
    <sheet xmlns:r="http://schemas.openxmlformats.org/officeDocument/2006/relationships" name="Curva pago (nota→$)" sheetId="4" state="visible" r:id="rId4"/>
    <sheet xmlns:r="http://schemas.openxmlformats.org/officeDocument/2006/relationships" name="Nota Juni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3864"/>
      <sz val="14"/>
    </font>
    <font>
      <b val="1"/>
      <sz val="12"/>
    </font>
    <font>
      <i val="1"/>
      <color rgb="00555555"/>
      <sz val="10"/>
    </font>
    <font>
      <b val="1"/>
      <color rgb="001E6E4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F3D6"/>
      </patternFill>
    </fill>
    <fill>
      <patternFill patternType="solid">
        <fgColor rgb="00D9EFD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4" fillId="4" borderId="0" applyAlignment="1" pivotButton="0" quotePrefix="0" xfId="0">
      <alignment horizontal="center" vertical="center"/>
    </xf>
    <xf numFmtId="0" fontId="1" fillId="5" borderId="0" pivotButton="0" quotePrefix="0" xfId="0"/>
    <xf numFmtId="0" fontId="0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4" fontId="1" fillId="5" borderId="0" applyAlignment="1" pivotButton="0" quotePrefix="0" xfId="0">
      <alignment horizontal="center" vertical="center"/>
    </xf>
    <xf numFmtId="0" fontId="6" fillId="4" borderId="0" pivotButton="0" quotePrefix="0" xfId="0"/>
    <xf numFmtId="0" fontId="6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4" max="4"/>
    <col width="13" customWidth="1" min="5" max="5"/>
    <col width="12" customWidth="1" min="7" max="7"/>
    <col width="13" customWidth="1" min="8" max="8"/>
    <col width="14" customWidth="1" min="10" max="10"/>
    <col width="12" customWidth="1" min="11" max="11"/>
  </cols>
  <sheetData>
    <row r="1">
      <c r="A1" s="1" t="inlineStr">
        <is>
          <t>PARÁMETROS EDITABLES (calíbralos con el histórico de FitDesk)</t>
        </is>
      </c>
    </row>
    <row r="3">
      <c r="A3" s="2" t="inlineStr">
        <is>
          <t>Complejidad (a)</t>
        </is>
      </c>
      <c r="B3" s="2" t="inlineStr">
        <is>
          <t>Horas base</t>
        </is>
      </c>
      <c r="D3" s="2" t="inlineStr">
        <is>
          <t>Severidad (b)</t>
        </is>
      </c>
      <c r="E3" s="2" t="inlineStr">
        <is>
          <t>Factor tiempo</t>
        </is>
      </c>
      <c r="G3" s="2" t="inlineStr">
        <is>
          <t>Clientes (c)</t>
        </is>
      </c>
      <c r="H3" s="2" t="inlineStr">
        <is>
          <t>Factor tiempo</t>
        </is>
      </c>
      <c r="J3" s="2" t="inlineStr">
        <is>
          <t>Antigüedad (d)</t>
        </is>
      </c>
      <c r="K3" s="2" t="inlineStr">
        <is>
          <t>Mult puntos</t>
        </is>
      </c>
    </row>
    <row r="4">
      <c r="A4" s="3" t="n">
        <v>1</v>
      </c>
      <c r="B4" s="4" t="n">
        <v>2</v>
      </c>
      <c r="D4" s="3" t="inlineStr">
        <is>
          <t>1 Baja</t>
        </is>
      </c>
      <c r="E4" s="4" t="n">
        <v>1.5</v>
      </c>
      <c r="G4" s="3" t="n">
        <v>1</v>
      </c>
      <c r="H4" s="4" t="n">
        <v>1</v>
      </c>
      <c r="J4" s="3" t="n">
        <v>1</v>
      </c>
      <c r="K4" s="4" t="n">
        <v>1</v>
      </c>
    </row>
    <row r="5">
      <c r="A5" s="3" t="n">
        <v>2</v>
      </c>
      <c r="B5" s="4" t="n">
        <v>4</v>
      </c>
      <c r="D5" s="3" t="inlineStr">
        <is>
          <t>2 Media</t>
        </is>
      </c>
      <c r="E5" s="4" t="n">
        <v>1.2</v>
      </c>
      <c r="G5" s="3" t="n">
        <v>2</v>
      </c>
      <c r="H5" s="4" t="n">
        <v>0.95</v>
      </c>
      <c r="J5" s="3" t="n">
        <v>2</v>
      </c>
      <c r="K5" s="4" t="n">
        <v>1.1</v>
      </c>
    </row>
    <row r="6">
      <c r="A6" s="3" t="n">
        <v>3</v>
      </c>
      <c r="B6" s="4" t="n">
        <v>8</v>
      </c>
      <c r="D6" s="3" t="inlineStr">
        <is>
          <t>3 Alta</t>
        </is>
      </c>
      <c r="E6" s="4" t="n">
        <v>1</v>
      </c>
      <c r="G6" s="3" t="n">
        <v>3</v>
      </c>
      <c r="H6" s="4" t="n">
        <v>0.9</v>
      </c>
      <c r="J6" s="3" t="n">
        <v>3</v>
      </c>
      <c r="K6" s="4" t="n">
        <v>1.2</v>
      </c>
    </row>
    <row r="7">
      <c r="A7" s="3" t="n">
        <v>4</v>
      </c>
      <c r="B7" s="4" t="n">
        <v>20</v>
      </c>
      <c r="D7" s="3" t="inlineStr">
        <is>
          <t>4 Legal</t>
        </is>
      </c>
      <c r="E7" s="4" t="n">
        <v>0.8</v>
      </c>
    </row>
    <row r="8">
      <c r="A8" s="3" t="n">
        <v>5</v>
      </c>
      <c r="B8" s="4" t="n">
        <v>40</v>
      </c>
      <c r="D8" s="3" t="inlineStr">
        <is>
          <t>5 Emergencia</t>
        </is>
      </c>
      <c r="E8" s="4" t="n">
        <v>0.5</v>
      </c>
    </row>
    <row r="9">
      <c r="G9" s="2" t="inlineStr">
        <is>
          <t>Días antes (e)</t>
        </is>
      </c>
      <c r="H9" s="2" t="inlineStr">
        <is>
          <t>Mult puntos</t>
        </is>
      </c>
    </row>
    <row r="10">
      <c r="A10" t="inlineStr">
        <is>
          <t>Valor base puntos</t>
        </is>
      </c>
      <c r="B10" s="1" t="n">
        <v>2</v>
      </c>
      <c r="G10" s="3" t="n">
        <v>0</v>
      </c>
      <c r="H10" s="4" t="n">
        <v>1</v>
      </c>
    </row>
    <row r="11">
      <c r="A11" t="inlineStr">
        <is>
          <t>Horas por día</t>
        </is>
      </c>
      <c r="B11" s="1" t="n">
        <v>8</v>
      </c>
      <c r="G11" s="3" t="n">
        <v>1</v>
      </c>
      <c r="H11" s="4" t="n">
        <v>1.1</v>
      </c>
    </row>
    <row r="12">
      <c r="G12" s="3" t="n">
        <v>2</v>
      </c>
      <c r="H12" s="4" t="n">
        <v>1.2</v>
      </c>
    </row>
    <row r="13">
      <c r="A13" s="1" t="inlineStr">
        <is>
          <t>Meta fitcoins/mes</t>
        </is>
      </c>
      <c r="B13" s="5" t="n">
        <v>150</v>
      </c>
    </row>
    <row r="14">
      <c r="A14" s="1" t="inlineStr">
        <is>
          <t>Penaliz. calidad reapertura</t>
        </is>
      </c>
      <c r="B14" s="5" t="n">
        <v>15</v>
      </c>
      <c r="D14" s="1" t="inlineStr">
        <is>
          <t>Peso Calidad</t>
        </is>
      </c>
      <c r="E14" s="6" t="n">
        <v>0.3</v>
      </c>
    </row>
    <row r="15">
      <c r="A15" s="1" t="inlineStr">
        <is>
          <t>Penaliz. calidad rollback</t>
        </is>
      </c>
      <c r="B15" s="5" t="n">
        <v>20</v>
      </c>
      <c r="D15" s="1" t="inlineStr">
        <is>
          <t>Peso Productividad</t>
        </is>
      </c>
      <c r="E15" s="6" t="n">
        <v>0.2</v>
      </c>
    </row>
    <row r="16">
      <c r="A16" s="1" t="inlineStr">
        <is>
          <t>Penaliz. calidad incidente</t>
        </is>
      </c>
      <c r="B16" s="5" t="n">
        <v>30</v>
      </c>
      <c r="D16" s="1" t="inlineStr">
        <is>
          <t>Peso Impacto</t>
        </is>
      </c>
      <c r="E16" s="6" t="n">
        <v>0.2</v>
      </c>
    </row>
    <row r="17">
      <c r="A17" s="1" t="inlineStr">
        <is>
          <t>Meta Impacto (Σ b+c)</t>
        </is>
      </c>
      <c r="B17" s="5" t="n">
        <v>27.5</v>
      </c>
      <c r="D17" s="1" t="inlineStr">
        <is>
          <t>Peso Colaboración</t>
        </is>
      </c>
      <c r="E17" s="6" t="n">
        <v>0.2</v>
      </c>
    </row>
    <row r="18">
      <c r="A18" s="1" t="inlineStr">
        <is>
          <t>Meta Colaboración</t>
        </is>
      </c>
      <c r="B18" s="5" t="n">
        <v>8</v>
      </c>
      <c r="D18" s="1" t="inlineStr">
        <is>
          <t>Peso Innovación</t>
        </is>
      </c>
      <c r="E18" s="6" t="n">
        <v>0.1</v>
      </c>
    </row>
    <row r="19">
      <c r="A19" s="1" t="inlineStr">
        <is>
          <t>Meta Innovación</t>
        </is>
      </c>
      <c r="B19" s="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7" t="inlineStr">
        <is>
          <t>CALCULADORA DE UNA TAREA</t>
        </is>
      </c>
    </row>
    <row r="3">
      <c r="A3" s="1" t="inlineStr">
        <is>
          <t>Complejidad (a)  1–5</t>
        </is>
      </c>
      <c r="B3" s="8" t="n">
        <v>4</v>
      </c>
    </row>
    <row r="4">
      <c r="A4" s="1" t="inlineStr">
        <is>
          <t>Severidad (b)  1–5</t>
        </is>
      </c>
      <c r="B4" s="8" t="n">
        <v>3</v>
      </c>
    </row>
    <row r="5">
      <c r="A5" s="1" t="inlineStr">
        <is>
          <t>N° clientes (c)  1–3</t>
        </is>
      </c>
      <c r="B5" s="8" t="n">
        <v>2</v>
      </c>
    </row>
    <row r="6">
      <c r="A6" s="1" t="inlineStr">
        <is>
          <t>Antigüedad (d)  1–3</t>
        </is>
      </c>
      <c r="B6" s="8" t="n">
        <v>2</v>
      </c>
    </row>
    <row r="7">
      <c r="A7" s="1" t="inlineStr">
        <is>
          <t>Días antes de entrega (e)  0–2</t>
        </is>
      </c>
      <c r="B7" s="8" t="n">
        <v>2</v>
      </c>
    </row>
    <row r="9">
      <c r="A9" s="9" t="inlineStr">
        <is>
          <t>PUNTOS de la tarea (fitcoins)</t>
        </is>
      </c>
      <c r="B9" s="10">
        <f>Parametros!$B$10*B3*(B4+B5)*INDEX(Parametros!$K$4:$K$6,B6)*INDEX(Parametros!$H$10:$H$12,B7+1)</f>
        <v/>
      </c>
    </row>
    <row r="10">
      <c r="A10" s="11" t="inlineStr">
        <is>
          <t>Tiempo máximo (horas)</t>
        </is>
      </c>
      <c r="B10" s="12">
        <f>INDEX(Parametros!$B$4:$B$8,B3)*INDEX(Parametros!$E$4:$E$8,B4)*INDEX(Parametros!$H$4:$H$6,B5)</f>
        <v/>
      </c>
    </row>
    <row r="11">
      <c r="A11" s="11" t="inlineStr">
        <is>
          <t>Tiempo máximo (días)</t>
        </is>
      </c>
      <c r="B11" s="13">
        <f>B10/Parametros!$B$11</f>
        <v/>
      </c>
    </row>
    <row r="13">
      <c r="A13" s="14" t="inlineStr">
        <is>
          <t>Fórmula puntos = ValorBase × a × (b + c) × Mult.Antigüedad(d) × Premio(e)</t>
        </is>
      </c>
    </row>
    <row r="14">
      <c r="A14" s="14" t="inlineStr">
        <is>
          <t>Fórmula tiempo  = HorasBase(a) × Factor(b) × Factor(c)</t>
        </is>
      </c>
    </row>
    <row r="15">
      <c r="A15" s="14" t="inlineStr">
        <is>
          <t>El premio (e) se confirma SOLO tras el periodo de gracia (sin fallas).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5" t="inlineStr">
        <is>
          <t>Caso</t>
        </is>
      </c>
      <c r="B1" s="15" t="inlineStr">
        <is>
          <t>a</t>
        </is>
      </c>
      <c r="C1" s="15" t="inlineStr">
        <is>
          <t>b</t>
        </is>
      </c>
      <c r="D1" s="15" t="inlineStr">
        <is>
          <t>c</t>
        </is>
      </c>
      <c r="E1" s="15" t="inlineStr">
        <is>
          <t>d</t>
        </is>
      </c>
      <c r="F1" s="15" t="inlineStr">
        <is>
          <t>e (días antes)</t>
        </is>
      </c>
      <c r="G1" s="15" t="inlineStr">
        <is>
          <t>Puntos</t>
        </is>
      </c>
      <c r="H1" s="15" t="inlineStr">
        <is>
          <t>Tiempo máx (h)</t>
        </is>
      </c>
      <c r="I1" s="15" t="inlineStr">
        <is>
          <t>Tiempo (días)</t>
        </is>
      </c>
    </row>
    <row r="2">
      <c r="A2" s="3" t="inlineStr">
        <is>
          <t>Consulta simple, 1 cliente</t>
        </is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0</v>
      </c>
      <c r="G2" s="16">
        <f>Parametros!$B$10*B2*(C2+D2)*INDEX(Parametros!$K$4:$K$6,E2)*INDEX(Parametros!$H$10:$H$12,F2+1)</f>
        <v/>
      </c>
      <c r="H2" s="4">
        <f>INDEX(Parametros!$B$4:$B$8,B2)*INDEX(Parametros!$E$4:$E$8,C2)*INDEX(Parametros!$H$4:$H$6,D2)</f>
        <v/>
      </c>
      <c r="I2" s="17">
        <f>H2/Parametros!$B$11</f>
        <v/>
      </c>
    </row>
    <row r="3">
      <c r="A3" s="3" t="inlineStr">
        <is>
          <t>Incidencia media, 1 cliente</t>
        </is>
      </c>
      <c r="B3" s="4" t="n">
        <v>3</v>
      </c>
      <c r="C3" s="4" t="n">
        <v>2</v>
      </c>
      <c r="D3" s="4" t="n">
        <v>1</v>
      </c>
      <c r="E3" s="4" t="n">
        <v>1</v>
      </c>
      <c r="F3" s="4" t="n">
        <v>0</v>
      </c>
      <c r="G3" s="16">
        <f>Parametros!$B$10*B3*(C3+D3)*INDEX(Parametros!$K$4:$K$6,E3)*INDEX(Parametros!$H$10:$H$12,F3+1)</f>
        <v/>
      </c>
      <c r="H3" s="4">
        <f>INDEX(Parametros!$B$4:$B$8,B3)*INDEX(Parametros!$E$4:$E$8,C3)*INDEX(Parametros!$H$4:$H$6,D3)</f>
        <v/>
      </c>
      <c r="I3" s="17">
        <f>H3/Parametros!$B$11</f>
        <v/>
      </c>
    </row>
    <row r="4">
      <c r="A4" s="3" t="inlineStr">
        <is>
          <t>Requerimiento alto, 2 clientes</t>
        </is>
      </c>
      <c r="B4" s="4" t="n">
        <v>4</v>
      </c>
      <c r="C4" s="4" t="n">
        <v>3</v>
      </c>
      <c r="D4" s="4" t="n">
        <v>2</v>
      </c>
      <c r="E4" s="4" t="n">
        <v>2</v>
      </c>
      <c r="F4" s="4" t="n">
        <v>2</v>
      </c>
      <c r="G4" s="16">
        <f>Parametros!$B$10*B4*(C4+D4)*INDEX(Parametros!$K$4:$K$6,E4)*INDEX(Parametros!$H$10:$H$12,F4+1)</f>
        <v/>
      </c>
      <c r="H4" s="4">
        <f>INDEX(Parametros!$B$4:$B$8,B4)*INDEX(Parametros!$E$4:$E$8,C4)*INDEX(Parametros!$H$4:$H$6,D4)</f>
        <v/>
      </c>
      <c r="I4" s="17">
        <f>H4/Parametros!$B$11</f>
        <v/>
      </c>
    </row>
    <row r="5">
      <c r="A5" s="3" t="inlineStr">
        <is>
          <t>Emergencia legal, todos</t>
        </is>
      </c>
      <c r="B5" s="4" t="n">
        <v>5</v>
      </c>
      <c r="C5" s="4" t="n">
        <v>5</v>
      </c>
      <c r="D5" s="4" t="n">
        <v>3</v>
      </c>
      <c r="E5" s="4" t="n">
        <v>3</v>
      </c>
      <c r="F5" s="4" t="n">
        <v>0</v>
      </c>
      <c r="G5" s="16">
        <f>Parametros!$B$10*B5*(C5+D5)*INDEX(Parametros!$K$4:$K$6,E5)*INDEX(Parametros!$H$10:$H$12,F5+1)</f>
        <v/>
      </c>
      <c r="H5" s="4">
        <f>INDEX(Parametros!$B$4:$B$8,B5)*INDEX(Parametros!$E$4:$E$8,C5)*INDEX(Parametros!$H$4:$H$6,D5)</f>
        <v/>
      </c>
      <c r="I5" s="17">
        <f>H5/Parametros!$B$11</f>
        <v/>
      </c>
    </row>
    <row r="6">
      <c r="A6" s="3" t="inlineStr">
        <is>
          <t>Bug alto, todos, entrega a tiempo</t>
        </is>
      </c>
      <c r="B6" s="4" t="n">
        <v>4</v>
      </c>
      <c r="C6" s="4" t="n">
        <v>3</v>
      </c>
      <c r="D6" s="4" t="n">
        <v>3</v>
      </c>
      <c r="E6" s="4" t="n">
        <v>1</v>
      </c>
      <c r="F6" s="4" t="n">
        <v>0</v>
      </c>
      <c r="G6" s="16">
        <f>Parametros!$B$10*B6*(C6+D6)*INDEX(Parametros!$K$4:$K$6,E6)*INDEX(Parametros!$H$10:$H$12,F6+1)</f>
        <v/>
      </c>
      <c r="H6" s="4">
        <f>INDEX(Parametros!$B$4:$B$8,B6)*INDEX(Parametros!$E$4:$E$8,C6)*INDEX(Parametros!$H$4:$H$6,D6)</f>
        <v/>
      </c>
      <c r="I6" s="17">
        <f>H6/Parametros!$B$11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Curva: la NOTA mensual (0–100) se convierte en bono</t>
        </is>
      </c>
    </row>
    <row r="2">
      <c r="A2" s="14" t="inlineStr">
        <is>
          <t>Bono = ROUNDUP(0.0087*Nota^2 + 0.1431*Nota - 0.5991)</t>
        </is>
      </c>
    </row>
    <row r="4">
      <c r="A4" s="2" t="inlineStr">
        <is>
          <t>Nota</t>
        </is>
      </c>
      <c r="B4" s="2" t="inlineStr">
        <is>
          <t>Bono USD</t>
        </is>
      </c>
    </row>
    <row r="5">
      <c r="A5" s="4" t="n">
        <v>0</v>
      </c>
      <c r="B5" s="4">
        <f>ROUNDDOWN(0.0085*A5^2+0.1632*A5-0.2874,0)</f>
        <v/>
      </c>
    </row>
    <row r="6">
      <c r="A6" s="4" t="n">
        <v>10</v>
      </c>
      <c r="B6" s="4">
        <f>ROUNDUP(0.0087*A6^2+0.1431*A6-0.5991,0)</f>
        <v/>
      </c>
    </row>
    <row r="7">
      <c r="A7" s="4" t="n">
        <v>20</v>
      </c>
      <c r="B7" s="4">
        <f>ROUNDUP(0.0087*A7^2+0.1431*A7-0.5991,0)</f>
        <v/>
      </c>
    </row>
    <row r="8">
      <c r="A8" s="4" t="n">
        <v>30</v>
      </c>
      <c r="B8" s="4">
        <f>ROUNDUP(0.0087*A8^2+0.1431*A8-0.5991,0)</f>
        <v/>
      </c>
    </row>
    <row r="9">
      <c r="A9" s="4" t="n">
        <v>40</v>
      </c>
      <c r="B9" s="4">
        <f>ROUNDUP(0.0087*A9^2+0.1431*A9-0.5991,0)</f>
        <v/>
      </c>
    </row>
    <row r="10">
      <c r="A10" s="4" t="n">
        <v>50</v>
      </c>
      <c r="B10" s="4">
        <f>ROUNDUP(0.0087*A10^2+0.1431*A10-0.5991,0)</f>
        <v/>
      </c>
    </row>
    <row r="11">
      <c r="A11" s="4" t="n">
        <v>60</v>
      </c>
      <c r="B11" s="4">
        <f>ROUNDUP(0.0087*A11^2+0.1431*A11-0.5991,0)</f>
        <v/>
      </c>
    </row>
    <row r="12">
      <c r="A12" s="4" t="n">
        <v>70</v>
      </c>
      <c r="B12" s="4">
        <f>ROUNDUP(0.0087*A12^2+0.1431*A12-0.5991,0)</f>
        <v/>
      </c>
    </row>
    <row r="13">
      <c r="A13" s="4" t="n">
        <v>80</v>
      </c>
      <c r="B13" s="4">
        <f>ROUNDUP(0.0087*A13^2+0.1431*A13-0.5991,0)</f>
        <v/>
      </c>
    </row>
    <row r="14">
      <c r="A14" s="4" t="n">
        <v>90</v>
      </c>
      <c r="B14" s="4">
        <f>ROUNDUP(0.0087*A14^2+0.1431*A14-0.5991,0)</f>
        <v/>
      </c>
    </row>
    <row r="15">
      <c r="A15" s="4" t="n">
        <v>100</v>
      </c>
      <c r="B15" s="4">
        <f>ROUNDUP(0.0087*A15^2+0.1431*A15-0.5991,0)</f>
        <v/>
      </c>
    </row>
    <row r="18">
      <c r="A18" s="14" t="inlineStr">
        <is>
          <t>Nota: los 'puntos de la tarea' (fitcoins) se acumulan; la NOTA mensual sale de las dimensiones ponderadas; esta curva la convierte en dinero.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</cols>
  <sheetData>
    <row r="1">
      <c r="A1" s="7" t="inlineStr">
        <is>
          <t>NOTA MENSUAL DE UN JUNIOR (cálculo automático)</t>
        </is>
      </c>
    </row>
    <row r="2">
      <c r="A2" s="14" t="inlineStr">
        <is>
          <t>Celdas ámbar = señales OBJETIVAS (vienen de HelpDesk / FitDesk / Git).</t>
        </is>
      </c>
    </row>
    <row r="3">
      <c r="A3" s="1" t="inlineStr">
        <is>
          <t>Fitcoins acreditados del mes</t>
        </is>
      </c>
      <c r="B3" s="8" t="n">
        <v>131</v>
      </c>
    </row>
    <row r="4">
      <c r="A4" s="1" t="inlineStr">
        <is>
          <t>Reaperturas</t>
        </is>
      </c>
      <c r="B4" s="8" t="n">
        <v>1</v>
      </c>
    </row>
    <row r="5">
      <c r="A5" s="1" t="inlineStr">
        <is>
          <t>Rollbacks</t>
        </is>
      </c>
      <c r="B5" s="8" t="n">
        <v>0</v>
      </c>
    </row>
    <row r="6">
      <c r="A6" s="1" t="inlineStr">
        <is>
          <t>Incidentes en producción</t>
        </is>
      </c>
      <c r="B6" s="8" t="n">
        <v>0</v>
      </c>
    </row>
    <row r="7">
      <c r="A7" s="1" t="inlineStr">
        <is>
          <t>Suma (severidad + clientes) del mes</t>
        </is>
      </c>
      <c r="B7" s="8" t="n">
        <v>22</v>
      </c>
    </row>
    <row r="8">
      <c r="A8" s="1" t="inlineStr">
        <is>
          <t>Acciones de colaboración (reviews, docs, ayudas)</t>
        </is>
      </c>
      <c r="B8" s="8" t="n">
        <v>6</v>
      </c>
    </row>
    <row r="9">
      <c r="A9" s="1" t="inlineStr">
        <is>
          <t>Innovaciones aprobadas (valor)</t>
        </is>
      </c>
      <c r="B9" s="8" t="n">
        <v>4</v>
      </c>
    </row>
    <row r="11">
      <c r="A11" s="15" t="inlineStr">
        <is>
          <t>Dimensión</t>
        </is>
      </c>
      <c r="B11" s="15" t="inlineStr">
        <is>
          <t>Score</t>
        </is>
      </c>
      <c r="C11" s="15" t="inlineStr">
        <is>
          <t>Peso</t>
        </is>
      </c>
      <c r="D11" s="15" t="inlineStr">
        <is>
          <t>Aporte</t>
        </is>
      </c>
    </row>
    <row r="12">
      <c r="A12" s="3" t="inlineStr">
        <is>
          <t>Calidad</t>
        </is>
      </c>
      <c r="B12" s="17">
        <f>MAX(0,100-Parametros!$B$14*$B$4-Parametros!$B$15*$B$5-Parametros!$B$16*$B$6)</f>
        <v/>
      </c>
      <c r="C12" s="18">
        <f>Parametros!$E$14</f>
        <v/>
      </c>
      <c r="D12" s="17">
        <f>B12*C12</f>
        <v/>
      </c>
    </row>
    <row r="13">
      <c r="A13" s="3" t="inlineStr">
        <is>
          <t>Productividad</t>
        </is>
      </c>
      <c r="B13" s="17">
        <f>MIN(100,$B$3/Parametros!$B$13*100)</f>
        <v/>
      </c>
      <c r="C13" s="18">
        <f>Parametros!$E$15</f>
        <v/>
      </c>
      <c r="D13" s="17">
        <f>B13*C13</f>
        <v/>
      </c>
    </row>
    <row r="14">
      <c r="A14" s="3" t="inlineStr">
        <is>
          <t>Impacto</t>
        </is>
      </c>
      <c r="B14" s="17">
        <f>MIN(100,$B$7/Parametros!$B$17*100)</f>
        <v/>
      </c>
      <c r="C14" s="18">
        <f>Parametros!$E$16</f>
        <v/>
      </c>
      <c r="D14" s="17">
        <f>B14*C14</f>
        <v/>
      </c>
    </row>
    <row r="15">
      <c r="A15" s="3" t="inlineStr">
        <is>
          <t>Colaboración</t>
        </is>
      </c>
      <c r="B15" s="17">
        <f>MIN(100,$B$8/Parametros!$B$18*100)</f>
        <v/>
      </c>
      <c r="C15" s="18">
        <f>Parametros!$E$17</f>
        <v/>
      </c>
      <c r="D15" s="17">
        <f>B15*C15</f>
        <v/>
      </c>
    </row>
    <row r="16">
      <c r="A16" s="3" t="inlineStr">
        <is>
          <t>Innovación</t>
        </is>
      </c>
      <c r="B16" s="17">
        <f>MIN(100,$B$9/Parametros!$B$19*100)</f>
        <v/>
      </c>
      <c r="C16" s="18">
        <f>Parametros!$E$18</f>
        <v/>
      </c>
      <c r="D16" s="17">
        <f>B16*C16</f>
        <v/>
      </c>
    </row>
    <row r="17">
      <c r="A17" s="11" t="inlineStr">
        <is>
          <t>NOTA DEL MES</t>
        </is>
      </c>
      <c r="D17" s="19">
        <f>SUM(D12:D16)</f>
        <v/>
      </c>
    </row>
    <row r="18">
      <c r="A18" s="20" t="inlineStr">
        <is>
          <t>BONO USD</t>
        </is>
      </c>
      <c r="D18" s="21">
        <f>ROUNDUP(0.0087*D17^2+0.1431*D17-0.5991,0)</f>
        <v/>
      </c>
    </row>
    <row r="20">
      <c r="A20" s="14" t="inlineStr">
        <is>
          <t>Productividad, Calidad, Impacto y Colaboración: 100% automáticos (señales medibles).</t>
        </is>
      </c>
    </row>
    <row r="21">
      <c r="A21" s="14" t="inlineStr">
        <is>
          <t>Innovación: requiere aprobación (único juicio, acotado y auditable).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2026-06-29T20:22:51Z</dcterms:created>
  <dcterms:modified xmlns:dcterms="http://purl.org/dc/terms/" xmlns:xsi="http://www.w3.org/2001/XMLSchema-instance" xsi:type="dcterms:W3CDTF">2026-06-29T20:22:51Z</dcterms:modified>
</cp:coreProperties>
</file>