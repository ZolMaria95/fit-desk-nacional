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35" windowHeight="7297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<sst xmlns="http://schemas.openxmlformats.org/spreadsheetml/2006/main" count="15" uniqueCount="15">
  <si>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Puntos</t>
  </si>
  <si>
    <t>Valor a pagar</t>
  </si>
  <si>
    <t>Valor a pagar=</t>
  </si>
  <si>
    <t>0.0085*Puntos^2+0.1632*Puntos-0.2874</t>
  </si>
  <si>
    <t>Elementos para calcular el tiempo maximo y los puntos de una tarea:</t>
  </si>
  <si>
    <t>a</t>
  </si>
  <si>
    <t>Complejidad: (1 a 5)</t>
  </si>
  <si>
    <t>b</t>
  </si>
  <si>
    <t>Severidad segun el SLA: Baja=1, Media=2, Alta=3, Legal=4, Emergencia=5</t>
  </si>
  <si>
    <t>c</t>
  </si>
  <si>
    <t>Numero de clientes que reportan la falla o el requerimiento: Uno=1, Dos o mas =2, Todos= 3</t>
  </si>
  <si>
    <t>d</t>
  </si>
  <si>
    <t>Antiguedad: 0 a 2 dias = 1, 3 a 5 dias = 2, mas de 5 dias =3</t>
  </si>
  <si>
    <t>e</t>
  </si>
  <si>
    <t>Premio por entrega correcta y sin fallas antes del tiempo calculado: 1 dia antes +10%, 2 dias antes +20%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</si>
</sst>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Hoja1!$B$2:$B$22</c:f>
              <c:numCache>
                <c:formatCode>General</c:formatCode>
                <c:ptCount val="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</c:numCache>
            </c:numRef>
          </c:xVal>
          <c:yVal>
            <c:numRef>
              <c:f>Hoja1!$C$2:$C$22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12</c:v>
                </c:pt>
                <c:pt idx="7">
                  <c:v>16</c:v>
                </c:pt>
                <c:pt idx="8">
                  <c:v>20</c:v>
                </c:pt>
                <c:pt idx="9">
                  <c:v>24</c:v>
                </c:pt>
                <c:pt idx="10">
                  <c:v>29</c:v>
                </c:pt>
                <c:pt idx="11">
                  <c:v>34</c:v>
                </c:pt>
                <c:pt idx="12">
                  <c:v>40</c:v>
                </c:pt>
                <c:pt idx="13">
                  <c:v>46</c:v>
                </c:pt>
                <c:pt idx="14">
                  <c:v>53</c:v>
                </c:pt>
                <c:pt idx="15">
                  <c:v>60</c:v>
                </c:pt>
                <c:pt idx="16">
                  <c:v>67</c:v>
                </c:pt>
                <c:pt idx="17">
                  <c:v>75</c:v>
                </c:pt>
                <c:pt idx="18">
                  <c:v>83</c:v>
                </c:pt>
                <c:pt idx="19">
                  <c:v>92</c:v>
                </c:pt>
                <c:pt idx="20">
                  <c:v>100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25808"/>
        <c:axId val="865188342"/>
      </c:scatterChart>
      <c:valAx>
        <c:axId val="20532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5188342"/>
        <c:crosses val="autoZero"/>
        <c:crossBetween val="midCat"/>
      </c:valAx>
      <c:valAx>
        <c:axId val="86518834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32580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ecfac7-3f03-47ca-a3fa-ed0f15a25f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267970</xdr:colOff>
      <xdr:row>2</xdr:row>
      <xdr:rowOff>173355</xdr:rowOff>
    </xdr:from>
    <xdr:to>
      <xdr:col>14</xdr:col>
      <xdr:colOff>622300</xdr:colOff>
      <xdr:row>18</xdr:row>
      <xdr:rowOff>20955</xdr:rowOff>
    </xdr:to>
    <xdr:graphicFrame>
      <xdr:nvGraphicFramePr>
        <xdr:cNvPr id="9" name="Gráfico 8"/>
        <xdr:cNvGraphicFramePr/>
      </xdr:nvGraphicFramePr>
      <xdr:xfrm>
        <a:off x="2286000" y="535305"/>
        <a:ext cx="48298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5"/>
  <sheetViews>
    <sheetView tabSelected="1" topLeftCell="A9" workbookViewId="0">
      <selection activeCell="E21" sqref="E21"/>
    </sheetView>
  </sheetViews>
  <sheetFormatPr defaultColWidth="9.02654867256637" defaultRowHeight="14.25" outlineLevelCol="7"/>
  <cols>
    <col min="2" max="2" width="6.92920353982301" customWidth="1"/>
    <col min="3" max="3" width="12.1681415929204" customWidth="1"/>
    <col min="4" max="4" width="15.070796460177" customWidth="1"/>
    <col min="5" max="11" width="3.53097345132743" customWidth="1"/>
    <col min="12" max="12" width="4.53097345132743" customWidth="1"/>
    <col min="17" max="17" width="9.53097345132743"/>
  </cols>
  <sheetData>
    <row r="1" spans="2:8">
      <c r="B1" s="1" t="s">
        <v>0</v>
      </c>
      <c r="C1" s="2" t="s">
        <v>1</v>
      </c>
    </row>
    <row r="2" spans="2:8">
      <c r="B2" s="3">
        <v>0</v>
      </c>
      <c r="C2" s="3">
        <f>ROUNDDOWN(0.0085*B2^2+0.1632*B2-0.2874,0)</f>
        <v>0</v>
      </c>
      <c r="D2" s="4" t="s">
        <v>2</v>
      </c>
      <c r="E2" t="s">
        <v>3</v>
      </c>
      <c r="H2" s="5"/>
    </row>
    <row r="3" spans="2:8">
      <c r="B3" s="3">
        <f>B2+5</f>
        <v>5</v>
      </c>
      <c r="C3" s="3">
        <f>ROUNDUP(0.0087*B3^2+0.1431*B3-0.5991,0)</f>
        <v>1</v>
      </c>
    </row>
    <row r="4" spans="2:8">
      <c r="B4" s="3">
        <f t="shared" ref="B4:B15" si="0">B3+5</f>
        <v>10</v>
      </c>
      <c r="C4" s="3">
        <f t="shared" ref="C4:C22" si="1">ROUNDUP(0.0087*B4^2+0.1431*B4-0.5991,0)</f>
        <v>2</v>
      </c>
    </row>
    <row r="5" spans="2:8">
      <c r="B5" s="3">
        <f t="shared" si="0"/>
        <v>15</v>
      </c>
      <c r="C5" s="3">
        <f t="shared" si="1"/>
        <v>4</v>
      </c>
    </row>
    <row r="6" spans="2:8">
      <c r="B6" s="3">
        <f t="shared" si="0"/>
        <v>20</v>
      </c>
      <c r="C6" s="3">
        <f t="shared" si="1"/>
        <v>6</v>
      </c>
    </row>
    <row r="7" spans="2:8">
      <c r="B7" s="3">
        <f t="shared" si="0"/>
        <v>25</v>
      </c>
      <c r="C7" s="3">
        <f t="shared" si="1"/>
        <v>9</v>
      </c>
    </row>
    <row r="8" spans="2:8">
      <c r="B8" s="3">
        <f t="shared" si="0"/>
        <v>30</v>
      </c>
      <c r="C8" s="3">
        <f t="shared" si="1"/>
        <v>12</v>
      </c>
    </row>
    <row r="9" spans="2:8">
      <c r="B9" s="3">
        <f t="shared" si="0"/>
        <v>35</v>
      </c>
      <c r="C9" s="3">
        <f t="shared" si="1"/>
        <v>16</v>
      </c>
    </row>
    <row r="10" spans="2:8">
      <c r="B10" s="3">
        <f t="shared" si="0"/>
        <v>40</v>
      </c>
      <c r="C10" s="3">
        <f t="shared" si="1"/>
        <v>20</v>
      </c>
    </row>
    <row r="11" spans="2:8">
      <c r="B11" s="3">
        <f t="shared" si="0"/>
        <v>45</v>
      </c>
      <c r="C11" s="3">
        <f t="shared" si="1"/>
        <v>24</v>
      </c>
    </row>
    <row r="12" spans="2:8">
      <c r="B12" s="3">
        <f t="shared" si="0"/>
        <v>50</v>
      </c>
      <c r="C12" s="3">
        <f t="shared" si="1"/>
        <v>29</v>
      </c>
    </row>
    <row r="13" spans="2:8">
      <c r="B13" s="3">
        <f t="shared" si="0"/>
        <v>55</v>
      </c>
      <c r="C13" s="3">
        <f t="shared" si="1"/>
        <v>34</v>
      </c>
    </row>
    <row r="14" spans="2:8">
      <c r="B14" s="3">
        <f t="shared" si="0"/>
        <v>60</v>
      </c>
      <c r="C14" s="3">
        <f t="shared" si="1"/>
        <v>40</v>
      </c>
    </row>
    <row r="15" spans="2:8">
      <c r="B15" s="3">
        <f t="shared" si="0"/>
        <v>65</v>
      </c>
      <c r="C15" s="3">
        <f t="shared" si="1"/>
        <v>46</v>
      </c>
    </row>
    <row r="16" spans="2:8">
      <c r="B16" s="3">
        <f t="shared" ref="B16:B22" si="2">B15+5</f>
        <v>70</v>
      </c>
      <c r="C16" s="3">
        <f t="shared" si="1"/>
        <v>53</v>
      </c>
    </row>
    <row r="17" spans="2:6">
      <c r="B17" s="3">
        <f t="shared" si="2"/>
        <v>75</v>
      </c>
      <c r="C17" s="3">
        <f t="shared" si="1"/>
        <v>60</v>
      </c>
    </row>
    <row r="18" spans="2:6">
      <c r="B18" s="3">
        <f t="shared" si="2"/>
        <v>80</v>
      </c>
      <c r="C18" s="3">
        <f t="shared" si="1"/>
        <v>67</v>
      </c>
    </row>
    <row r="19" spans="2:6">
      <c r="B19" s="3">
        <f t="shared" si="2"/>
        <v>85</v>
      </c>
      <c r="C19" s="3">
        <f t="shared" si="1"/>
        <v>75</v>
      </c>
    </row>
    <row r="20" spans="2:6">
      <c r="B20" s="3">
        <f t="shared" si="2"/>
        <v>90</v>
      </c>
      <c r="C20" s="3">
        <f t="shared" si="1"/>
        <v>83</v>
      </c>
      <c r="E20" t="s">
        <v>4</v>
      </c>
    </row>
    <row r="21" spans="2:6">
      <c r="B21" s="3">
        <f t="shared" si="2"/>
        <v>95</v>
      </c>
      <c r="C21" s="3">
        <f t="shared" si="1"/>
        <v>92</v>
      </c>
      <c r="E21" t="s">
        <v>5</v>
      </c>
      <c r="F21" t="s">
        <v>6</v>
      </c>
    </row>
    <row r="22" spans="2:6">
      <c r="B22" s="3">
        <v>100</v>
      </c>
      <c r="C22" s="3">
        <f>ROUNDUP(0.0087*B22^2+0.1431*B22-0.5991,0)-1</f>
        <v>100</v>
      </c>
      <c r="E22" t="s">
        <v>7</v>
      </c>
      <c r="F22" t="s">
        <v>8</v>
      </c>
    </row>
    <row r="23" spans="2:6">
      <c r="E23" t="s">
        <v>9</v>
      </c>
      <c r="F23" t="s">
        <v>10</v>
      </c>
    </row>
    <row r="24" spans="2:6">
      <c r="E24" t="s">
        <v>11</v>
      </c>
      <c r="F24" t="s">
        <v>12</v>
      </c>
    </row>
    <row r="25" spans="2:6">
      <c r="E25" t="s">
        <v>13</v>
      </c>
      <c r="F25" t="s">
        <v>14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ivanv</dc:creator>
  <cp:lastModifiedBy>ivan.villavicencio</cp:lastModifiedBy>
  <dcterms:created xsi:type="dcterms:W3CDTF">2026-06-29T01:10:00Z</dcterms:created>
  <dcterms:modified xsi:type="dcterms:W3CDTF">2026-06-29T18:26:31Z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65CEEEE4267E4947AAC7BC90D86C0C9C_13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